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2"/>
  </bookViews>
  <sheets>
    <sheet name="PBE" sheetId="1" r:id="rId1"/>
    <sheet name="PBE0" sheetId="2" r:id="rId2"/>
    <sheet name="B3LY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<sst xmlns="http://schemas.openxmlformats.org/spreadsheetml/2006/main" count="159" uniqueCount="24">
  <si>
    <t>BẢNG 1: Năng lượng tổng - PBE (Hartree)</t>
  </si>
  <si>
    <t>Hệ</t>
  </si>
  <si>
    <t>R_1.0</t>
  </si>
  <si>
    <t>R_1.25</t>
  </si>
  <si>
    <t>R_1.5</t>
  </si>
  <si>
    <t>R_1.75</t>
  </si>
  <si>
    <t>dissociation_limit</t>
  </si>
  <si>
    <t>H2_plus_He</t>
  </si>
  <si>
    <t>He2_plus</t>
  </si>
  <si>
    <t>NH3_2_plus</t>
  </si>
  <si>
    <t>H2O_2_plus</t>
  </si>
  <si>
    <t>BẢNG 2: delta_E_calc = E(dl) - E(R) - PBE (kcal/mol)</t>
  </si>
  <si>
    <t>R/Re</t>
  </si>
  <si>
    <t>delta_E_calc (kcal/mol)</t>
  </si>
  <si>
    <t>BẢNG 3: Sai số so với benchmark - PBE (kcal/mol)</t>
  </si>
  <si>
    <t>delta_E_benchmark</t>
  </si>
  <si>
    <t>Sai số</t>
  </si>
  <si>
    <t>MUE</t>
  </si>
  <si>
    <t>BẢNG 1: Năng lượng tổng - PBE0 (Hartree)</t>
  </si>
  <si>
    <t>BẢNG 2: delta_E_calc = E(dl) - E(R) - PBE0 (kcal/mol)</t>
  </si>
  <si>
    <t>BẢNG 3: Sai số so với benchmark - PBE0 (kcal/mol)</t>
  </si>
  <si>
    <t>BẢNG 1: Năng lượng tổng - B3LYP (Hartree)</t>
  </si>
  <si>
    <t>BẢNG 2: delta_E_calc = E(dl) - E(R) - B3LYP (kcal/mol)</t>
  </si>
  <si>
    <t>BẢNG 3: Sai số so với benchmark - B3LYP (kcal/mol)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</si>
</sst>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-* #,###.##000\ &quot;₫&quot;_-;\-* #,###.##000\ &quot;₫&quot;_-;_-* &quot;-&quot;??\ &quot;₫&quot;_-;_-@_-"/>
    <numFmt numFmtId="178" formatCode="_ * #.##0_ ;_ * \-#.##0_ ;_ * &quot;-&quot;_ ;_ @_ "/>
    <numFmt numFmtId="179" formatCode="_-* #.##0\ &quot;₫&quot;_-;\-* #.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"/>
  <sheetViews>
    <sheetView topLeftCell="A19" workbookViewId="0">
      <selection activeCell="C45" sqref="C45:D45"/>
    </sheetView>
  </sheetViews>
  <sheetFormatPr defaultColWidth="9" defaultRowHeight="15" outlineLevelCol="5"/>
  <cols>
    <col min="1" max="1" width="54" customWidth="1"/>
    <col min="2" max="2" width="21" customWidth="1"/>
    <col min="3" max="3" width="25" customWidth="1"/>
    <col min="4" max="6" width="21" customWidth="1"/>
  </cols>
  <sheetData>
    <row r="1" spans="1:6">
      <c r="A1" t="s">
        <v>0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>
        <v>-3.50137885687877</v>
      </c>
      <c r="C3">
        <v>-3.49886075058763</v>
      </c>
      <c r="D3">
        <v>-3.48934802116965</v>
      </c>
      <c r="E3">
        <v>-3.47977531663562</v>
      </c>
      <c r="F3">
        <v>-3.48610436244393</v>
      </c>
    </row>
    <row r="4" spans="1:6">
      <c r="A4" t="s">
        <v>8</v>
      </c>
      <c r="B4">
        <v>-5.00724386803429</v>
      </c>
      <c r="C4">
        <v>-5.00628155575055</v>
      </c>
      <c r="D4">
        <v>-4.99640040411962</v>
      </c>
      <c r="E4">
        <v>-4.99029511741794</v>
      </c>
      <c r="F4">
        <v>-5.0254612039868</v>
      </c>
    </row>
    <row r="5" spans="1:6">
      <c r="A5" t="s">
        <v>9</v>
      </c>
      <c r="B5">
        <v>-112.721779974637</v>
      </c>
      <c r="C5">
        <v>-112.716529652953</v>
      </c>
      <c r="D5">
        <v>-112.706845046022</v>
      </c>
      <c r="E5">
        <v>-112.701909697542</v>
      </c>
      <c r="F5">
        <v>-112.707867507245</v>
      </c>
    </row>
    <row r="6" spans="1:6">
      <c r="A6" t="s">
        <v>10</v>
      </c>
      <c r="B6">
        <v>-152.385826203607</v>
      </c>
      <c r="C6">
        <v>-152.382908217555</v>
      </c>
      <c r="D6">
        <v>-152.375227604868</v>
      </c>
      <c r="E6">
        <v>-152.371929484681</v>
      </c>
      <c r="F6">
        <v>-152.295759184031</v>
      </c>
    </row>
    <row r="8" spans="1:6">
      <c r="A8" t="s">
        <v>11</v>
      </c>
    </row>
    <row r="9" spans="1:6">
      <c r="A9" t="s">
        <v>1</v>
      </c>
      <c r="B9" t="s">
        <v>12</v>
      </c>
      <c r="C9" t="s">
        <v>13</v>
      </c>
    </row>
    <row r="10" spans="1:6">
      <c r="A10" t="s">
        <v>7</v>
      </c>
      <c r="B10">
        <v>1</v>
      </c>
      <c r="C10">
        <v>9.58488272831478</v>
      </c>
    </row>
    <row r="11" spans="1:6">
      <c r="A11" t="s">
        <v>7</v>
      </c>
      <c r="B11">
        <v>1.25</v>
      </c>
      <c r="C11">
        <v>8.00474836766968</v>
      </c>
    </row>
    <row r="12" spans="1:6">
      <c r="A12" t="s">
        <v>7</v>
      </c>
      <c r="B12">
        <v>1.5</v>
      </c>
      <c r="C12">
        <v>2.03542504332262</v>
      </c>
    </row>
    <row r="13" spans="1:6">
      <c r="A13" t="s">
        <v>7</v>
      </c>
      <c r="B13">
        <v>1.75</v>
      </c>
      <c r="C13">
        <v>-3.97153320612127</v>
      </c>
    </row>
    <row r="14" spans="1:6">
      <c r="A14" t="s">
        <v>8</v>
      </c>
      <c r="B14">
        <v>1</v>
      </c>
      <c r="C14">
        <v>-11.4315422662237</v>
      </c>
    </row>
    <row r="15" spans="1:6">
      <c r="A15" t="s">
        <v>8</v>
      </c>
      <c r="B15">
        <v>1.25</v>
      </c>
      <c r="C15">
        <v>-12.0354018850831</v>
      </c>
    </row>
    <row r="16" spans="1:6">
      <c r="A16" t="s">
        <v>8</v>
      </c>
      <c r="B16">
        <v>1.5</v>
      </c>
      <c r="C16">
        <v>-18.2359134638525</v>
      </c>
    </row>
    <row r="17" spans="1:4">
      <c r="A17" t="s">
        <v>8</v>
      </c>
      <c r="B17">
        <v>1.75</v>
      </c>
      <c r="C17">
        <v>-22.0670358167404</v>
      </c>
    </row>
    <row r="18" spans="1:4">
      <c r="A18" t="s">
        <v>9</v>
      </c>
      <c r="B18">
        <v>1</v>
      </c>
      <c r="C18">
        <v>8.73019850080477</v>
      </c>
    </row>
    <row r="19" spans="1:4">
      <c r="A19" t="s">
        <v>9</v>
      </c>
      <c r="B19">
        <v>1.25</v>
      </c>
      <c r="C19">
        <v>5.43557439135868</v>
      </c>
    </row>
    <row r="20" spans="1:4">
      <c r="A20" t="s">
        <v>9</v>
      </c>
      <c r="B20">
        <v>1.5</v>
      </c>
      <c r="C20">
        <v>-0.641603619495506</v>
      </c>
    </row>
    <row r="21" spans="1:4">
      <c r="A21" t="s">
        <v>9</v>
      </c>
      <c r="B21">
        <v>1.75</v>
      </c>
      <c r="C21">
        <v>-3.73857920879845</v>
      </c>
    </row>
    <row r="22" spans="1:4">
      <c r="A22" t="s">
        <v>10</v>
      </c>
      <c r="B22">
        <v>1</v>
      </c>
      <c r="C22">
        <v>56.5178653869896</v>
      </c>
    </row>
    <row r="23" spans="1:4">
      <c r="A23" t="s">
        <v>10</v>
      </c>
      <c r="B23">
        <v>1.25</v>
      </c>
      <c r="C23">
        <v>54.6868028772816</v>
      </c>
    </row>
    <row r="24" spans="1:4">
      <c r="A24" t="s">
        <v>10</v>
      </c>
      <c r="B24">
        <v>1.5</v>
      </c>
      <c r="C24">
        <v>49.8671492906858</v>
      </c>
    </row>
    <row r="25" spans="1:4">
      <c r="A25" t="s">
        <v>10</v>
      </c>
      <c r="B25">
        <v>1.75</v>
      </c>
      <c r="C25">
        <v>47.7975491904774</v>
      </c>
    </row>
    <row r="27" spans="1:4">
      <c r="A27" t="s">
        <v>14</v>
      </c>
    </row>
    <row r="28" spans="1:4">
      <c r="A28" t="s">
        <v>1</v>
      </c>
      <c r="B28" t="s">
        <v>12</v>
      </c>
      <c r="C28" t="s">
        <v>15</v>
      </c>
      <c r="D28" t="s">
        <v>16</v>
      </c>
    </row>
    <row r="29" spans="1:4">
      <c r="A29" t="s">
        <v>7</v>
      </c>
      <c r="B29">
        <v>1</v>
      </c>
      <c r="C29">
        <v>64.4</v>
      </c>
      <c r="D29">
        <v>-54.8151172716852</v>
      </c>
    </row>
    <row r="30" spans="1:4">
      <c r="A30" t="s">
        <v>7</v>
      </c>
      <c r="B30">
        <v>1.25</v>
      </c>
      <c r="C30">
        <v>58.9</v>
      </c>
      <c r="D30">
        <v>-50.8952516323303</v>
      </c>
    </row>
    <row r="31" spans="1:4">
      <c r="A31" t="s">
        <v>7</v>
      </c>
      <c r="B31">
        <v>1.5</v>
      </c>
      <c r="C31">
        <v>48.7</v>
      </c>
      <c r="D31">
        <v>-46.6645749566774</v>
      </c>
    </row>
    <row r="32" spans="1:4">
      <c r="A32" t="s">
        <v>7</v>
      </c>
      <c r="B32">
        <v>1.75</v>
      </c>
      <c r="C32">
        <v>38.3</v>
      </c>
      <c r="D32">
        <v>-42.2715332061213</v>
      </c>
    </row>
    <row r="33" spans="1:4">
      <c r="A33" t="s">
        <v>8</v>
      </c>
      <c r="B33">
        <v>1</v>
      </c>
      <c r="C33">
        <v>56.9</v>
      </c>
      <c r="D33">
        <v>-68.3315422662237</v>
      </c>
    </row>
    <row r="34" spans="1:4">
      <c r="A34" t="s">
        <v>8</v>
      </c>
      <c r="B34">
        <v>1.25</v>
      </c>
      <c r="C34">
        <v>46.9</v>
      </c>
      <c r="D34">
        <v>-58.9354018850831</v>
      </c>
    </row>
    <row r="35" spans="1:4">
      <c r="A35" t="s">
        <v>8</v>
      </c>
      <c r="B35">
        <v>1.5</v>
      </c>
      <c r="C35">
        <v>31.3</v>
      </c>
      <c r="D35">
        <v>-49.5359134638525</v>
      </c>
    </row>
    <row r="36" spans="1:4">
      <c r="A36" t="s">
        <v>8</v>
      </c>
      <c r="B36">
        <v>1.75</v>
      </c>
      <c r="C36">
        <v>19.1</v>
      </c>
      <c r="D36">
        <v>-41.1670358167404</v>
      </c>
    </row>
    <row r="37" spans="1:4">
      <c r="A37" t="s">
        <v>9</v>
      </c>
      <c r="B37">
        <v>1</v>
      </c>
      <c r="C37">
        <v>35.9</v>
      </c>
      <c r="D37">
        <v>-27.1698014991952</v>
      </c>
    </row>
    <row r="38" spans="1:4">
      <c r="A38" t="s">
        <v>9</v>
      </c>
      <c r="B38">
        <v>1.25</v>
      </c>
      <c r="C38">
        <v>25.9</v>
      </c>
      <c r="D38">
        <v>-20.4644256086413</v>
      </c>
    </row>
    <row r="39" spans="1:4">
      <c r="A39" t="s">
        <v>9</v>
      </c>
      <c r="B39">
        <v>1.5</v>
      </c>
      <c r="C39">
        <v>13.4</v>
      </c>
      <c r="D39">
        <v>-14.0416036194955</v>
      </c>
    </row>
    <row r="40" spans="1:4">
      <c r="A40" t="s">
        <v>9</v>
      </c>
      <c r="B40">
        <v>1.75</v>
      </c>
      <c r="C40">
        <v>4.9</v>
      </c>
      <c r="D40">
        <v>-8.63857920879845</v>
      </c>
    </row>
    <row r="41" spans="1:4">
      <c r="A41" t="s">
        <v>10</v>
      </c>
      <c r="B41">
        <v>1</v>
      </c>
      <c r="C41">
        <v>39.7</v>
      </c>
      <c r="D41">
        <v>16.8178653869896</v>
      </c>
    </row>
    <row r="42" spans="1:4">
      <c r="A42" t="s">
        <v>10</v>
      </c>
      <c r="B42">
        <v>1.25</v>
      </c>
      <c r="C42">
        <v>29.1</v>
      </c>
      <c r="D42">
        <v>25.5868028772816</v>
      </c>
    </row>
    <row r="43" spans="1:4">
      <c r="A43" t="s">
        <v>10</v>
      </c>
      <c r="B43">
        <v>1.5</v>
      </c>
      <c r="C43">
        <v>16.9</v>
      </c>
      <c r="D43">
        <v>32.9671492906858</v>
      </c>
    </row>
    <row r="44" spans="1:4">
      <c r="A44" t="s">
        <v>10</v>
      </c>
      <c r="B44">
        <v>1.75</v>
      </c>
      <c r="C44">
        <v>9.3</v>
      </c>
      <c r="D44">
        <v>38.4975491904774</v>
      </c>
    </row>
    <row r="45" spans="1:4">
      <c r="C45" t="s">
        <v>17</v>
      </c>
      <c r="D45" cm="1">
        <f t="array" ref="D45">AVERAGE(ABS(D29:D44))</f>
        <v>37.3000091987674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"/>
  <sheetViews>
    <sheetView topLeftCell="A16" workbookViewId="0">
      <selection activeCell="C45" sqref="C45:D45"/>
    </sheetView>
  </sheetViews>
  <sheetFormatPr defaultColWidth="9" defaultRowHeight="15" outlineLevelCol="5"/>
  <cols>
    <col min="1" max="1" width="55" customWidth="1"/>
    <col min="2" max="2" width="21" customWidth="1"/>
    <col min="3" max="3" width="25" customWidth="1"/>
    <col min="4" max="6" width="21" customWidth="1"/>
  </cols>
  <sheetData>
    <row r="1" spans="1:6">
      <c r="A1" t="s">
        <v>18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>
        <v>-3.50351310889347</v>
      </c>
      <c r="C3">
        <v>-3.49918718076746</v>
      </c>
      <c r="D3">
        <v>-3.48766063467899</v>
      </c>
      <c r="E3">
        <v>-3.47594495729112</v>
      </c>
      <c r="F3">
        <v>-3.46496700031389</v>
      </c>
    </row>
    <row r="4" spans="1:6">
      <c r="A4" t="s">
        <v>8</v>
      </c>
      <c r="B4">
        <v>-5.00216126302767</v>
      </c>
      <c r="C4">
        <v>-4.99576664168998</v>
      </c>
      <c r="D4">
        <v>-4.98102092798373</v>
      </c>
      <c r="E4">
        <v>-4.97101086385523</v>
      </c>
      <c r="F4">
        <v>-4.98968515351471</v>
      </c>
    </row>
    <row r="5" spans="1:6">
      <c r="A5" t="s">
        <v>9</v>
      </c>
      <c r="B5">
        <v>-112.727272334434</v>
      </c>
      <c r="C5">
        <v>-112.717142261025</v>
      </c>
      <c r="D5">
        <v>-112.703570599739</v>
      </c>
      <c r="E5">
        <v>-112.695861929719</v>
      </c>
      <c r="F5">
        <v>-112.69337834464</v>
      </c>
    </row>
    <row r="6" spans="1:6">
      <c r="A6" t="s">
        <v>10</v>
      </c>
      <c r="B6">
        <v>-152.3771219856</v>
      </c>
      <c r="C6">
        <v>-152.368016383259</v>
      </c>
      <c r="D6">
        <v>-152.356189471361</v>
      </c>
      <c r="E6">
        <v>-152.350204042314</v>
      </c>
      <c r="F6">
        <v>-152.354966808224</v>
      </c>
    </row>
    <row r="8" spans="1:6">
      <c r="A8" t="s">
        <v>19</v>
      </c>
    </row>
    <row r="9" spans="1:6">
      <c r="A9" t="s">
        <v>1</v>
      </c>
      <c r="B9" t="s">
        <v>12</v>
      </c>
      <c r="C9" t="s">
        <v>13</v>
      </c>
    </row>
    <row r="10" spans="1:6">
      <c r="A10" t="s">
        <v>7</v>
      </c>
      <c r="B10">
        <v>1</v>
      </c>
      <c r="C10">
        <v>24.1880300486666</v>
      </c>
    </row>
    <row r="11" spans="1:6">
      <c r="A11" t="s">
        <v>7</v>
      </c>
      <c r="B11">
        <v>1.25</v>
      </c>
      <c r="C11">
        <v>21.4734712162436</v>
      </c>
    </row>
    <row r="12" spans="1:6">
      <c r="A12" t="s">
        <v>7</v>
      </c>
      <c r="B12">
        <v>1.5</v>
      </c>
      <c r="C12">
        <v>14.2404598068095</v>
      </c>
    </row>
    <row r="13" spans="1:6">
      <c r="A13" t="s">
        <v>7</v>
      </c>
      <c r="B13">
        <v>1.75</v>
      </c>
      <c r="C13">
        <v>6.88876680482345</v>
      </c>
    </row>
    <row r="14" spans="1:6">
      <c r="A14" t="s">
        <v>8</v>
      </c>
      <c r="B14">
        <v>1</v>
      </c>
      <c r="C14">
        <v>7.82887100436577</v>
      </c>
    </row>
    <row r="15" spans="1:6">
      <c r="A15" t="s">
        <v>8</v>
      </c>
      <c r="B15">
        <v>1.25</v>
      </c>
      <c r="C15">
        <v>3.8161885633755</v>
      </c>
    </row>
    <row r="16" spans="1:6">
      <c r="A16" t="s">
        <v>8</v>
      </c>
      <c r="B16">
        <v>1.5</v>
      </c>
      <c r="C16">
        <v>-5.43687949871702</v>
      </c>
    </row>
    <row r="17" spans="1:4">
      <c r="A17" t="s">
        <v>8</v>
      </c>
      <c r="B17">
        <v>1.75</v>
      </c>
      <c r="C17">
        <v>-11.7182848299291</v>
      </c>
    </row>
    <row r="18" spans="1:4">
      <c r="A18" t="s">
        <v>9</v>
      </c>
      <c r="B18">
        <v>1</v>
      </c>
      <c r="C18">
        <v>21.2687836413993</v>
      </c>
    </row>
    <row r="19" spans="1:4">
      <c r="A19" t="s">
        <v>9</v>
      </c>
      <c r="B19">
        <v>1.25</v>
      </c>
      <c r="C19">
        <v>14.9120714068665</v>
      </c>
    </row>
    <row r="20" spans="1:4">
      <c r="A20" t="s">
        <v>9</v>
      </c>
      <c r="B20">
        <v>1.5</v>
      </c>
      <c r="C20">
        <v>6.39573180486469</v>
      </c>
    </row>
    <row r="21" spans="1:4">
      <c r="A21" t="s">
        <v>9</v>
      </c>
      <c r="B21">
        <v>1.75</v>
      </c>
      <c r="C21">
        <v>1.55847198893145</v>
      </c>
    </row>
    <row r="22" spans="1:4">
      <c r="A22" t="s">
        <v>10</v>
      </c>
      <c r="B22">
        <v>1</v>
      </c>
      <c r="C22">
        <v>13.9025732005134</v>
      </c>
    </row>
    <row r="23" spans="1:4">
      <c r="A23" t="s">
        <v>10</v>
      </c>
      <c r="B23">
        <v>1.25</v>
      </c>
      <c r="C23">
        <v>8.1887257806811</v>
      </c>
    </row>
    <row r="24" spans="1:4">
      <c r="A24" t="s">
        <v>10</v>
      </c>
      <c r="B24">
        <v>1.5</v>
      </c>
      <c r="C24">
        <v>0.767232122462368</v>
      </c>
    </row>
    <row r="25" spans="1:4">
      <c r="A25" t="s">
        <v>10</v>
      </c>
      <c r="B25">
        <v>1.75</v>
      </c>
      <c r="C25">
        <v>-2.98867847341026</v>
      </c>
    </row>
    <row r="27" spans="1:4">
      <c r="A27" t="s">
        <v>20</v>
      </c>
    </row>
    <row r="28" spans="1:4">
      <c r="A28" t="s">
        <v>1</v>
      </c>
      <c r="B28" t="s">
        <v>12</v>
      </c>
      <c r="C28" t="s">
        <v>15</v>
      </c>
      <c r="D28" t="s">
        <v>16</v>
      </c>
    </row>
    <row r="29" spans="1:4">
      <c r="A29" t="s">
        <v>7</v>
      </c>
      <c r="B29">
        <v>1</v>
      </c>
      <c r="C29">
        <v>64.4</v>
      </c>
      <c r="D29">
        <v>-40.2119699513334</v>
      </c>
    </row>
    <row r="30" spans="1:4">
      <c r="A30" t="s">
        <v>7</v>
      </c>
      <c r="B30">
        <v>1.25</v>
      </c>
      <c r="C30">
        <v>58.9</v>
      </c>
      <c r="D30">
        <v>-37.4265287837564</v>
      </c>
    </row>
    <row r="31" spans="1:4">
      <c r="A31" t="s">
        <v>7</v>
      </c>
      <c r="B31">
        <v>1.5</v>
      </c>
      <c r="C31">
        <v>48.7</v>
      </c>
      <c r="D31">
        <v>-34.4595401931906</v>
      </c>
    </row>
    <row r="32" spans="1:4">
      <c r="A32" t="s">
        <v>7</v>
      </c>
      <c r="B32">
        <v>1.75</v>
      </c>
      <c r="C32">
        <v>38.3</v>
      </c>
      <c r="D32">
        <v>-31.4112331951765</v>
      </c>
    </row>
    <row r="33" spans="1:4">
      <c r="A33" t="s">
        <v>8</v>
      </c>
      <c r="B33">
        <v>1</v>
      </c>
      <c r="C33">
        <v>56.9</v>
      </c>
      <c r="D33">
        <v>-49.0711289956342</v>
      </c>
    </row>
    <row r="34" spans="1:4">
      <c r="A34" t="s">
        <v>8</v>
      </c>
      <c r="B34">
        <v>1.25</v>
      </c>
      <c r="C34">
        <v>46.9</v>
      </c>
      <c r="D34">
        <v>-43.0838114366245</v>
      </c>
    </row>
    <row r="35" spans="1:4">
      <c r="A35" t="s">
        <v>8</v>
      </c>
      <c r="B35">
        <v>1.5</v>
      </c>
      <c r="C35">
        <v>31.3</v>
      </c>
      <c r="D35">
        <v>-36.736879498717</v>
      </c>
    </row>
    <row r="36" spans="1:4">
      <c r="A36" t="s">
        <v>8</v>
      </c>
      <c r="B36">
        <v>1.75</v>
      </c>
      <c r="C36">
        <v>19.1</v>
      </c>
      <c r="D36">
        <v>-30.8182848299291</v>
      </c>
    </row>
    <row r="37" spans="1:4">
      <c r="A37" t="s">
        <v>9</v>
      </c>
      <c r="B37">
        <v>1</v>
      </c>
      <c r="C37">
        <v>35.9</v>
      </c>
      <c r="D37">
        <v>-14.6312163586007</v>
      </c>
    </row>
    <row r="38" spans="1:4">
      <c r="A38" t="s">
        <v>9</v>
      </c>
      <c r="B38">
        <v>1.25</v>
      </c>
      <c r="C38">
        <v>25.9</v>
      </c>
      <c r="D38">
        <v>-10.9879285931335</v>
      </c>
    </row>
    <row r="39" spans="1:4">
      <c r="A39" t="s">
        <v>9</v>
      </c>
      <c r="B39">
        <v>1.5</v>
      </c>
      <c r="C39">
        <v>13.4</v>
      </c>
      <c r="D39">
        <v>-7.00426819513531</v>
      </c>
    </row>
    <row r="40" spans="1:4">
      <c r="A40" t="s">
        <v>9</v>
      </c>
      <c r="B40">
        <v>1.75</v>
      </c>
      <c r="C40">
        <v>4.9</v>
      </c>
      <c r="D40">
        <v>-3.34152801106855</v>
      </c>
    </row>
    <row r="41" spans="1:4">
      <c r="A41" t="s">
        <v>10</v>
      </c>
      <c r="B41">
        <v>1</v>
      </c>
      <c r="C41">
        <v>39.7</v>
      </c>
      <c r="D41">
        <v>-25.7974267994867</v>
      </c>
    </row>
    <row r="42" spans="1:4">
      <c r="A42" t="s">
        <v>10</v>
      </c>
      <c r="B42">
        <v>1.25</v>
      </c>
      <c r="C42">
        <v>29.1</v>
      </c>
      <c r="D42">
        <v>-20.9112742193189</v>
      </c>
    </row>
    <row r="43" spans="1:4">
      <c r="A43" t="s">
        <v>10</v>
      </c>
      <c r="B43">
        <v>1.5</v>
      </c>
      <c r="C43">
        <v>16.9</v>
      </c>
      <c r="D43">
        <v>-16.1327678775376</v>
      </c>
    </row>
    <row r="44" spans="1:4">
      <c r="A44" t="s">
        <v>10</v>
      </c>
      <c r="B44">
        <v>1.75</v>
      </c>
      <c r="C44">
        <v>9.3</v>
      </c>
      <c r="D44">
        <v>-12.2886784734103</v>
      </c>
    </row>
    <row r="45" spans="1:4">
      <c r="C45" t="s">
        <v>17</v>
      </c>
      <c r="D45" cm="1">
        <f t="array" ref="D45">AVERAGE(ABS(D29:D44))</f>
        <v>25.8946540882533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"/>
  <sheetViews>
    <sheetView tabSelected="1" workbookViewId="0">
      <selection activeCell="G14" sqref="G14"/>
    </sheetView>
  </sheetViews>
  <sheetFormatPr defaultColWidth="9" defaultRowHeight="15" outlineLevelCol="5"/>
  <cols>
    <col min="1" max="1" width="56" customWidth="1"/>
    <col min="2" max="2" width="21" customWidth="1"/>
    <col min="3" max="3" width="25" customWidth="1"/>
    <col min="4" max="6" width="21" customWidth="1"/>
  </cols>
  <sheetData>
    <row r="1" spans="1:6">
      <c r="A1" t="s">
        <v>21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>
        <v>-3.52452207210398</v>
      </c>
      <c r="C3">
        <v>-3.52083297928939</v>
      </c>
      <c r="D3">
        <v>-3.51007600920097</v>
      </c>
      <c r="E3">
        <v>-3.49919251268948</v>
      </c>
      <c r="F3">
        <v>-3.49317771734562</v>
      </c>
    </row>
    <row r="4" spans="1:6">
      <c r="A4" t="s">
        <v>8</v>
      </c>
      <c r="B4">
        <v>-5.03454819793949</v>
      </c>
      <c r="C4">
        <v>-5.02985023593902</v>
      </c>
      <c r="D4">
        <v>-5.01623452802503</v>
      </c>
      <c r="E4">
        <v>-5.00694124906356</v>
      </c>
      <c r="F4">
        <v>-5.0287364575781</v>
      </c>
    </row>
    <row r="5" spans="1:6">
      <c r="A5" t="s">
        <v>9</v>
      </c>
      <c r="B5">
        <v>-112.868256882171</v>
      </c>
      <c r="C5">
        <v>-112.86106933958</v>
      </c>
      <c r="D5">
        <v>-112.848912633132</v>
      </c>
      <c r="E5">
        <v>-112.841952073859</v>
      </c>
      <c r="F5">
        <v>-112.841136415867</v>
      </c>
    </row>
    <row r="6" spans="1:6">
      <c r="A6" t="s">
        <v>10</v>
      </c>
      <c r="B6">
        <v>-152.544925058837</v>
      </c>
      <c r="C6">
        <v>-152.538496142515</v>
      </c>
      <c r="D6">
        <v>-152.52777760809</v>
      </c>
      <c r="E6">
        <v>-152.522414646904</v>
      </c>
      <c r="F6">
        <v>-152.529106044296</v>
      </c>
    </row>
    <row r="8" spans="1:6">
      <c r="A8" t="s">
        <v>22</v>
      </c>
    </row>
    <row r="9" spans="1:6">
      <c r="A9" t="s">
        <v>1</v>
      </c>
      <c r="B9" t="s">
        <v>12</v>
      </c>
      <c r="C9" t="s">
        <v>13</v>
      </c>
    </row>
    <row r="10" spans="1:6">
      <c r="A10" t="s">
        <v>7</v>
      </c>
      <c r="B10">
        <v>1</v>
      </c>
      <c r="C10">
        <v>19.6688647100625</v>
      </c>
    </row>
    <row r="11" spans="1:6">
      <c r="A11" t="s">
        <v>7</v>
      </c>
      <c r="B11">
        <v>1.25</v>
      </c>
      <c r="C11">
        <v>17.3539257670679</v>
      </c>
    </row>
    <row r="12" spans="1:6">
      <c r="A12" t="s">
        <v>7</v>
      </c>
      <c r="B12">
        <v>1.5</v>
      </c>
      <c r="C12">
        <v>10.603830223856</v>
      </c>
    </row>
    <row r="13" spans="1:6">
      <c r="A13" t="s">
        <v>7</v>
      </c>
      <c r="B13">
        <v>1.75</v>
      </c>
      <c r="C13">
        <v>3.77433821142722</v>
      </c>
    </row>
    <row r="14" spans="1:6">
      <c r="A14" t="s">
        <v>8</v>
      </c>
      <c r="B14">
        <v>1</v>
      </c>
      <c r="C14">
        <v>3.64691938243407</v>
      </c>
    </row>
    <row r="15" spans="1:6">
      <c r="A15" t="s">
        <v>8</v>
      </c>
      <c r="B15">
        <v>1.25</v>
      </c>
      <c r="C15">
        <v>0.698905945484132</v>
      </c>
    </row>
    <row r="16" spans="1:6">
      <c r="A16" t="s">
        <v>8</v>
      </c>
      <c r="B16">
        <v>1.5</v>
      </c>
      <c r="C16">
        <v>-7.84507331191709</v>
      </c>
    </row>
    <row r="17" spans="1:4">
      <c r="A17" t="s">
        <v>8</v>
      </c>
      <c r="B17">
        <v>1.75</v>
      </c>
      <c r="C17">
        <v>-13.6766894997482</v>
      </c>
    </row>
    <row r="18" spans="1:4">
      <c r="A18" t="s">
        <v>9</v>
      </c>
      <c r="B18">
        <v>1</v>
      </c>
      <c r="C18">
        <v>17.0183366900447</v>
      </c>
    </row>
    <row r="19" spans="1:4">
      <c r="A19" t="s">
        <v>9</v>
      </c>
      <c r="B19">
        <v>1.25</v>
      </c>
      <c r="C19">
        <v>12.5080890261853</v>
      </c>
    </row>
    <row r="20" spans="1:4">
      <c r="A20" t="s">
        <v>9</v>
      </c>
      <c r="B20">
        <v>1.5</v>
      </c>
      <c r="C20">
        <v>4.87964631947787</v>
      </c>
    </row>
    <row r="21" spans="1:4">
      <c r="A21" t="s">
        <v>9</v>
      </c>
      <c r="B21">
        <v>1.75</v>
      </c>
      <c r="C21">
        <v>0.511832730638729</v>
      </c>
    </row>
    <row r="22" spans="1:4">
      <c r="A22" t="s">
        <v>10</v>
      </c>
      <c r="B22">
        <v>1</v>
      </c>
      <c r="C22">
        <v>9.92657399589038</v>
      </c>
    </row>
    <row r="23" spans="1:4">
      <c r="A23" t="s">
        <v>10</v>
      </c>
      <c r="B23">
        <v>1.25</v>
      </c>
      <c r="C23">
        <v>5.89237114353878</v>
      </c>
    </row>
    <row r="24" spans="1:4">
      <c r="A24" t="s">
        <v>10</v>
      </c>
      <c r="B24">
        <v>1.5</v>
      </c>
      <c r="C24">
        <v>-0.833605675098464</v>
      </c>
    </row>
    <row r="25" spans="1:4">
      <c r="A25" t="s">
        <v>10</v>
      </c>
      <c r="B25">
        <v>1.75</v>
      </c>
      <c r="C25">
        <v>-4.19891208587162</v>
      </c>
    </row>
    <row r="27" spans="1:4">
      <c r="A27" t="s">
        <v>23</v>
      </c>
    </row>
    <row r="28" spans="1:4">
      <c r="A28" t="s">
        <v>1</v>
      </c>
      <c r="B28" t="s">
        <v>12</v>
      </c>
      <c r="C28" t="s">
        <v>15</v>
      </c>
      <c r="D28" t="s">
        <v>16</v>
      </c>
    </row>
    <row r="29" spans="1:4">
      <c r="A29" t="s">
        <v>7</v>
      </c>
      <c r="B29">
        <v>1</v>
      </c>
      <c r="C29">
        <v>64.4</v>
      </c>
      <c r="D29">
        <v>-44.7311352899375</v>
      </c>
    </row>
    <row r="30" spans="1:4">
      <c r="A30" t="s">
        <v>7</v>
      </c>
      <c r="B30">
        <v>1.25</v>
      </c>
      <c r="C30">
        <v>58.9</v>
      </c>
      <c r="D30">
        <v>-41.5460742329321</v>
      </c>
    </row>
    <row r="31" spans="1:4">
      <c r="A31" t="s">
        <v>7</v>
      </c>
      <c r="B31">
        <v>1.5</v>
      </c>
      <c r="C31">
        <v>48.7</v>
      </c>
      <c r="D31">
        <v>-38.096169776144</v>
      </c>
    </row>
    <row r="32" spans="1:4">
      <c r="A32" t="s">
        <v>7</v>
      </c>
      <c r="B32">
        <v>1.75</v>
      </c>
      <c r="C32">
        <v>38.3</v>
      </c>
      <c r="D32">
        <v>-34.5256617885728</v>
      </c>
    </row>
    <row r="33" spans="1:4">
      <c r="A33" t="s">
        <v>8</v>
      </c>
      <c r="B33">
        <v>1</v>
      </c>
      <c r="C33">
        <v>56.9</v>
      </c>
      <c r="D33">
        <v>-53.2530806175659</v>
      </c>
    </row>
    <row r="34" spans="1:4">
      <c r="A34" t="s">
        <v>8</v>
      </c>
      <c r="B34">
        <v>1.25</v>
      </c>
      <c r="C34">
        <v>46.9</v>
      </c>
      <c r="D34">
        <v>-46.2010940545159</v>
      </c>
    </row>
    <row r="35" spans="1:4">
      <c r="A35" t="s">
        <v>8</v>
      </c>
      <c r="B35">
        <v>1.5</v>
      </c>
      <c r="C35">
        <v>31.3</v>
      </c>
      <c r="D35">
        <v>-39.1450733119171</v>
      </c>
    </row>
    <row r="36" spans="1:4">
      <c r="A36" t="s">
        <v>8</v>
      </c>
      <c r="B36">
        <v>1.75</v>
      </c>
      <c r="C36">
        <v>19.1</v>
      </c>
      <c r="D36">
        <v>-32.7766894997482</v>
      </c>
    </row>
    <row r="37" spans="1:4">
      <c r="A37" t="s">
        <v>9</v>
      </c>
      <c r="B37">
        <v>1</v>
      </c>
      <c r="C37">
        <v>35.9</v>
      </c>
      <c r="D37">
        <v>-18.8816633099553</v>
      </c>
    </row>
    <row r="38" spans="1:4">
      <c r="A38" t="s">
        <v>9</v>
      </c>
      <c r="B38">
        <v>1.25</v>
      </c>
      <c r="C38">
        <v>25.9</v>
      </c>
      <c r="D38">
        <v>-13.3919109738147</v>
      </c>
    </row>
    <row r="39" spans="1:4">
      <c r="A39" t="s">
        <v>9</v>
      </c>
      <c r="B39">
        <v>1.5</v>
      </c>
      <c r="C39">
        <v>13.4</v>
      </c>
      <c r="D39">
        <v>-8.52035368052213</v>
      </c>
    </row>
    <row r="40" spans="1:4">
      <c r="A40" t="s">
        <v>9</v>
      </c>
      <c r="B40">
        <v>1.75</v>
      </c>
      <c r="C40">
        <v>4.9</v>
      </c>
      <c r="D40">
        <v>-4.38816726936127</v>
      </c>
    </row>
    <row r="41" spans="1:4">
      <c r="A41" t="s">
        <v>10</v>
      </c>
      <c r="B41">
        <v>1</v>
      </c>
      <c r="C41">
        <v>39.7</v>
      </c>
      <c r="D41">
        <v>-29.7734260041096</v>
      </c>
    </row>
    <row r="42" spans="1:4">
      <c r="A42" t="s">
        <v>10</v>
      </c>
      <c r="B42">
        <v>1.25</v>
      </c>
      <c r="C42">
        <v>29.1</v>
      </c>
      <c r="D42">
        <v>-23.2076288564612</v>
      </c>
    </row>
    <row r="43" spans="1:4">
      <c r="A43" t="s">
        <v>10</v>
      </c>
      <c r="B43">
        <v>1.5</v>
      </c>
      <c r="C43">
        <v>16.9</v>
      </c>
      <c r="D43">
        <v>-17.7336056750985</v>
      </c>
    </row>
    <row r="44" spans="1:4">
      <c r="A44" t="s">
        <v>10</v>
      </c>
      <c r="B44">
        <v>1.75</v>
      </c>
      <c r="C44">
        <v>9.3</v>
      </c>
      <c r="D44">
        <v>-13.4989120858716</v>
      </c>
    </row>
    <row r="45" spans="1:4">
      <c r="C45" t="s">
        <v>17</v>
      </c>
      <c r="D45" cm="1">
        <f t="array" ref="D45">AVERAGE(ABS(D29:D44))</f>
        <v>28.729415401658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PBE</vt:lpstr>
      <vt:lpstr>PBE0</vt:lpstr>
      <vt:lpstr>B3LYP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 Gia</cp:lastModifiedBy>
  <dcterms:created xsi:type="dcterms:W3CDTF">2026-07-04T15:19:00Z</dcterms:created>
  <dcterms:modified xsi:type="dcterms:W3CDTF">2026-07-04T15:51:25Z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93F322F6A4C845CFA57487372DC478AF_12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